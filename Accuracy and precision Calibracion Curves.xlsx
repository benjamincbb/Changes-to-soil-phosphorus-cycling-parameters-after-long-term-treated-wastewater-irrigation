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bac5901_psu_edu/Documents/RESEARCH/PENN STATE/THESIS/CHAPTER 1 - SOILS LIVING FILTER/MANUSCRIPT/MANUSCRIPT FILES/RESPONSES FOR JEM REVIEWERS/THIRD VERSION/"/>
    </mc:Choice>
  </mc:AlternateContent>
  <xr:revisionPtr revIDLastSave="382" documentId="11_F25DC773A252ABDACC1048D5595C43EA5BDE58FF" xr6:coauthVersionLast="47" xr6:coauthVersionMax="47" xr10:uidLastSave="{E580B3BE-9895-4F20-9EB5-7843E05A2C4E}"/>
  <bookViews>
    <workbookView minimized="1" xWindow="5415" yWindow="450" windowWidth="21735" windowHeight="15075" activeTab="1" xr2:uid="{00000000-000D-0000-FFFF-FFFF00000000}"/>
  </bookViews>
  <sheets>
    <sheet name="Blue colorimetric method" sheetId="1" r:id="rId1"/>
    <sheet name="Yellow p-N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G30" i="2"/>
  <c r="G31" i="2"/>
  <c r="G27" i="2"/>
  <c r="G25" i="2"/>
  <c r="G28" i="2"/>
  <c r="G29" i="2"/>
  <c r="G17" i="2"/>
  <c r="G18" i="2"/>
  <c r="G19" i="2"/>
  <c r="G20" i="2"/>
  <c r="G21" i="2"/>
  <c r="G22" i="2"/>
  <c r="G23" i="2"/>
  <c r="G24" i="2"/>
  <c r="G26" i="2"/>
  <c r="G15" i="2"/>
  <c r="F9" i="2"/>
  <c r="F8" i="2"/>
  <c r="F7" i="2"/>
  <c r="F6" i="2"/>
  <c r="F5" i="2"/>
  <c r="F25" i="1"/>
  <c r="F20" i="1"/>
  <c r="F22" i="1"/>
  <c r="F15" i="1"/>
  <c r="F16" i="1"/>
  <c r="F17" i="1"/>
  <c r="F18" i="1"/>
  <c r="F19" i="1"/>
  <c r="F21" i="1"/>
  <c r="F23" i="1"/>
  <c r="F24" i="1"/>
  <c r="F26" i="1"/>
  <c r="F27" i="1"/>
  <c r="F28" i="1"/>
  <c r="F29" i="1"/>
  <c r="F30" i="1"/>
  <c r="F14" i="1"/>
  <c r="F5" i="1"/>
  <c r="F7" i="1"/>
  <c r="F8" i="1"/>
  <c r="F6" i="1"/>
  <c r="H14" i="2" l="1"/>
  <c r="H24" i="2" s="1"/>
  <c r="G14" i="1"/>
  <c r="G25" i="1" s="1"/>
  <c r="H25" i="1" s="1"/>
  <c r="H28" i="2" l="1"/>
  <c r="H30" i="2"/>
  <c r="I30" i="2" s="1"/>
  <c r="H31" i="2"/>
  <c r="I31" i="2" s="1"/>
  <c r="H18" i="2"/>
  <c r="I18" i="2" s="1"/>
  <c r="H26" i="2"/>
  <c r="I26" i="2" s="1"/>
  <c r="H23" i="2"/>
  <c r="I23" i="2" s="1"/>
  <c r="H20" i="2"/>
  <c r="I20" i="2" s="1"/>
  <c r="I24" i="2"/>
  <c r="H21" i="2"/>
  <c r="I21" i="2" s="1"/>
  <c r="H22" i="2"/>
  <c r="H27" i="2"/>
  <c r="H19" i="2"/>
  <c r="I19" i="2" s="1"/>
  <c r="H25" i="2"/>
  <c r="I25" i="2" s="1"/>
  <c r="H17" i="2"/>
  <c r="H29" i="2"/>
  <c r="I29" i="2" s="1"/>
  <c r="G17" i="1"/>
  <c r="H17" i="1" s="1"/>
  <c r="G20" i="1"/>
  <c r="H20" i="1" s="1"/>
  <c r="G29" i="1"/>
  <c r="H29" i="1" s="1"/>
  <c r="G19" i="1"/>
  <c r="H19" i="1" s="1"/>
  <c r="G22" i="1"/>
  <c r="H22" i="1" s="1"/>
  <c r="G28" i="1"/>
  <c r="H28" i="1" s="1"/>
  <c r="G21" i="1"/>
  <c r="H21" i="1" s="1"/>
  <c r="G23" i="1"/>
  <c r="H23" i="1" s="1"/>
  <c r="G18" i="1"/>
  <c r="H18" i="1" s="1"/>
  <c r="G16" i="1"/>
  <c r="H16" i="1" s="1"/>
  <c r="G26" i="1"/>
  <c r="H26" i="1" s="1"/>
  <c r="G24" i="1"/>
  <c r="H24" i="1" s="1"/>
  <c r="G27" i="1"/>
  <c r="H27" i="1" s="1"/>
  <c r="G30" i="1"/>
  <c r="H30" i="1" s="1"/>
  <c r="L27" i="2" l="1"/>
  <c r="I27" i="2"/>
  <c r="K27" i="2"/>
  <c r="I17" i="2"/>
  <c r="J17" i="2" s="1"/>
  <c r="K17" i="2"/>
  <c r="L17" i="2"/>
  <c r="I22" i="2"/>
  <c r="J22" i="2" s="1"/>
  <c r="L22" i="2"/>
  <c r="K22" i="2"/>
  <c r="I28" i="2"/>
  <c r="I26" i="1"/>
  <c r="K16" i="1"/>
  <c r="I16" i="1"/>
  <c r="J16" i="1"/>
  <c r="K26" i="1"/>
  <c r="J26" i="1"/>
  <c r="I21" i="1"/>
  <c r="J21" i="1"/>
  <c r="K21" i="1"/>
  <c r="J27" i="2" l="1"/>
</calcChain>
</file>

<file path=xl/sharedStrings.xml><?xml version="1.0" encoding="utf-8"?>
<sst xmlns="http://schemas.openxmlformats.org/spreadsheetml/2006/main" count="60" uniqueCount="20">
  <si>
    <t>Calibration curve</t>
  </si>
  <si>
    <t>absorbance</t>
  </si>
  <si>
    <t>mg/L</t>
  </si>
  <si>
    <t>Sample</t>
  </si>
  <si>
    <t>1 mg/L</t>
  </si>
  <si>
    <t>2 mg/L</t>
  </si>
  <si>
    <t>3 mg/L</t>
  </si>
  <si>
    <t>Blank</t>
  </si>
  <si>
    <t>%RSD</t>
  </si>
  <si>
    <t>SD</t>
  </si>
  <si>
    <t>Calculated mg/L</t>
  </si>
  <si>
    <t>blank-corrected mg/L</t>
  </si>
  <si>
    <t>Accuracy (%)</t>
  </si>
  <si>
    <t>Accurary (mean %)</t>
  </si>
  <si>
    <t xml:space="preserve">Calibration curve made from </t>
  </si>
  <si>
    <t>ug</t>
  </si>
  <si>
    <t>20 ug</t>
  </si>
  <si>
    <t>40 ug</t>
  </si>
  <si>
    <t>60 ug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</si>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</sst>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7097550306211727E-2"/>
                  <c:y val="-0.157824074074074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'Blue colorimetric method'!$D$4:$D$9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xVal>
          <c:yVal>
            <c:numRef>
              <c:f>'Blue colorimetric method'!$E$4:$E$9</c:f>
              <c:numCache>
                <c:formatCode>General</c:formatCode>
                <c:ptCount val="6"/>
                <c:pt idx="0">
                  <c:v>4.2000000000000003E-2</c:v>
                </c:pt>
                <c:pt idx="1">
                  <c:v>9.1999999999999998E-2</c:v>
                </c:pt>
                <c:pt idx="2">
                  <c:v>0.14299999999999999</c:v>
                </c:pt>
                <c:pt idx="3">
                  <c:v>0.23699999999999999</c:v>
                </c:pt>
                <c:pt idx="4">
                  <c:v>0.32700000000000001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5B-4813-A8DB-7EAC96046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017744"/>
        <c:axId val="2026016784"/>
      </c:scatterChart>
      <c:valAx>
        <c:axId val="202601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16784"/>
        <c:crosses val="autoZero"/>
        <c:crossBetween val="midCat"/>
      </c:valAx>
      <c:valAx>
        <c:axId val="202601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1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91543435119391"/>
                  <c:y val="-3.96039603960396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'Yellow p-NP'!$D$4:$D$9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xVal>
          <c:yVal>
            <c:numRef>
              <c:f>'Yellow p-NP'!$E$4:$E$9</c:f>
              <c:numCache>
                <c:formatCode>General</c:formatCode>
                <c:ptCount val="6"/>
                <c:pt idx="0">
                  <c:v>0.11360000000000001</c:v>
                </c:pt>
                <c:pt idx="1">
                  <c:v>0.38600000000000001</c:v>
                </c:pt>
                <c:pt idx="2">
                  <c:v>0.66090000000000004</c:v>
                </c:pt>
                <c:pt idx="3">
                  <c:v>0.96179999999999999</c:v>
                </c:pt>
                <c:pt idx="4">
                  <c:v>1.2184999999999999</c:v>
                </c:pt>
                <c:pt idx="5">
                  <c:v>1.5164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9F-4295-8A89-A460E4B01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017744"/>
        <c:axId val="2026016784"/>
      </c:scatterChart>
      <c:valAx>
        <c:axId val="202601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16784"/>
        <c:crosses val="autoZero"/>
        <c:crossBetween val="midCat"/>
      </c:valAx>
      <c:valAx>
        <c:axId val="202601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1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542925</xdr:colOff>
      <xdr:row>1</xdr:row>
      <xdr:rowOff>66675</xdr:rowOff>
    </xdr:from>
    <xdr:to>
      <xdr:col>19</xdr:col>
      <xdr:colOff>180975</xdr:colOff>
      <xdr:row>11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3CDC8A-472F-3762-BF7F-BCAB04E69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295275</xdr:colOff>
      <xdr:row>1</xdr:row>
      <xdr:rowOff>123825</xdr:rowOff>
    </xdr:from>
    <xdr:to>
      <xdr:col>18</xdr:col>
      <xdr:colOff>542925</xdr:colOff>
      <xdr:row>11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C3930-9D07-45D3-8A3D-46DCCEA9C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activeCell="E6" sqref="E6"/>
    </sheetView>
  </sheetViews>
  <sheetFormatPr defaultRowHeight="15" x14ac:dyDescent="0.25"/>
  <cols>
    <col min="4" max="4" width="12.140625" customWidth="1"/>
    <col min="5" max="5" width="12.28515625" customWidth="1"/>
  </cols>
  <sheetData>
    <row r="1" spans="1:11" x14ac:dyDescent="0.25">
      <c r="A1" t="s">
        <v>14</v>
      </c>
    </row>
    <row r="2" spans="1:11" x14ac:dyDescent="0.25">
      <c r="E2" t="s">
        <v>0</v>
      </c>
    </row>
    <row r="3" spans="1:11" x14ac:dyDescent="0.25">
      <c r="D3" t="s">
        <v>2</v>
      </c>
      <c r="E3" t="s">
        <v>1</v>
      </c>
    </row>
    <row r="4" spans="1:11" x14ac:dyDescent="0.25">
      <c r="D4">
        <v>0</v>
      </c>
      <c r="E4">
        <v>4.2000000000000003E-2</v>
      </c>
      <c r="F4">
        <v>0</v>
      </c>
    </row>
    <row r="5" spans="1:11" x14ac:dyDescent="0.25">
      <c r="D5">
        <v>0.5</v>
      </c>
      <c r="E5">
        <v>9.1999999999999998E-2</v>
      </c>
      <c r="F5">
        <f>E5-$E$4</f>
        <v>4.9999999999999996E-2</v>
      </c>
    </row>
    <row r="6" spans="1:11" x14ac:dyDescent="0.25">
      <c r="D6">
        <v>1</v>
      </c>
      <c r="E6">
        <v>0.14299999999999999</v>
      </c>
      <c r="F6">
        <f>E6-$E$4</f>
        <v>0.10099999999999998</v>
      </c>
    </row>
    <row r="7" spans="1:11" x14ac:dyDescent="0.25">
      <c r="D7">
        <v>2</v>
      </c>
      <c r="E7">
        <v>0.23699999999999999</v>
      </c>
      <c r="F7">
        <f>E7-$E$4</f>
        <v>0.19499999999999998</v>
      </c>
    </row>
    <row r="8" spans="1:11" x14ac:dyDescent="0.25">
      <c r="D8">
        <v>3</v>
      </c>
      <c r="E8">
        <v>0.32700000000000001</v>
      </c>
      <c r="F8">
        <f>E8-$E$4</f>
        <v>0.28500000000000003</v>
      </c>
    </row>
    <row r="12" spans="1:11" x14ac:dyDescent="0.25">
      <c r="D12" t="s">
        <v>3</v>
      </c>
      <c r="E12" t="s">
        <v>1</v>
      </c>
      <c r="F12" t="s">
        <v>10</v>
      </c>
      <c r="G12" t="s">
        <v>11</v>
      </c>
      <c r="H12" t="s">
        <v>12</v>
      </c>
      <c r="I12" t="s">
        <v>13</v>
      </c>
      <c r="J12" t="s">
        <v>9</v>
      </c>
      <c r="K12" t="s">
        <v>8</v>
      </c>
    </row>
    <row r="13" spans="1:11" x14ac:dyDescent="0.25">
      <c r="D13" t="s">
        <v>7</v>
      </c>
      <c r="E13">
        <v>5.5E-2</v>
      </c>
    </row>
    <row r="14" spans="1:11" x14ac:dyDescent="0.25">
      <c r="D14" t="s">
        <v>7</v>
      </c>
      <c r="E14">
        <v>5.2999999999999999E-2</v>
      </c>
      <c r="F14">
        <f>(E14-0.0448)/0.0949</f>
        <v>8.6406743940990502E-2</v>
      </c>
      <c r="G14" s="1">
        <f>AVERAGE(F13:F15)</f>
        <v>9.1675447839831392E-2</v>
      </c>
    </row>
    <row r="15" spans="1:11" x14ac:dyDescent="0.25">
      <c r="D15" t="s">
        <v>7</v>
      </c>
      <c r="E15">
        <v>5.3999999999999999E-2</v>
      </c>
      <c r="F15">
        <f t="shared" ref="F15:F30" si="0">(E15-0.0448)/0.0949</f>
        <v>9.6944151738672282E-2</v>
      </c>
      <c r="G15" s="1"/>
    </row>
    <row r="16" spans="1:11" x14ac:dyDescent="0.25">
      <c r="D16" t="s">
        <v>4</v>
      </c>
      <c r="E16">
        <v>0.14499999999999999</v>
      </c>
      <c r="F16">
        <f t="shared" si="0"/>
        <v>1.0558482613277131</v>
      </c>
      <c r="G16" s="1">
        <f>F16-$G$14</f>
        <v>0.96417281348788175</v>
      </c>
      <c r="H16" s="3">
        <f>(G16/$D$6)*100</f>
        <v>96.41728134878818</v>
      </c>
      <c r="I16" s="2">
        <f>AVERAGE(H16:H20)</f>
        <v>96.838777660695456</v>
      </c>
      <c r="J16">
        <f>_xlfn.STDEV.S(G16:G20)</f>
        <v>9.4249440569011984E-3</v>
      </c>
      <c r="K16">
        <f>_xlfn.STDEV.S(G16:G20)/AVERAGE(G16:G20)*100</f>
        <v>0.97326136126215868</v>
      </c>
    </row>
    <row r="17" spans="4:11" x14ac:dyDescent="0.25">
      <c r="D17" t="s">
        <v>4</v>
      </c>
      <c r="E17">
        <v>0.14499999999999999</v>
      </c>
      <c r="F17">
        <f t="shared" si="0"/>
        <v>1.0558482613277131</v>
      </c>
      <c r="G17" s="1">
        <f t="shared" ref="G17:G29" si="1">F17-$G$14</f>
        <v>0.96417281348788175</v>
      </c>
      <c r="H17" s="3">
        <f t="shared" ref="H17:H20" si="2">(G17/$D$6)*100</f>
        <v>96.41728134878818</v>
      </c>
    </row>
    <row r="18" spans="4:11" x14ac:dyDescent="0.25">
      <c r="D18" t="s">
        <v>4</v>
      </c>
      <c r="E18">
        <v>0.14699999999999999</v>
      </c>
      <c r="F18">
        <f t="shared" si="0"/>
        <v>1.0769230769230769</v>
      </c>
      <c r="G18" s="1">
        <f t="shared" si="1"/>
        <v>0.98524762908324548</v>
      </c>
      <c r="H18" s="3">
        <f t="shared" si="2"/>
        <v>98.524762908324547</v>
      </c>
    </row>
    <row r="19" spans="4:11" x14ac:dyDescent="0.25">
      <c r="D19" t="s">
        <v>4</v>
      </c>
      <c r="E19">
        <v>0.14499999999999999</v>
      </c>
      <c r="F19">
        <f t="shared" si="0"/>
        <v>1.0558482613277131</v>
      </c>
      <c r="G19" s="1">
        <f t="shared" si="1"/>
        <v>0.96417281348788175</v>
      </c>
      <c r="H19" s="3">
        <f t="shared" si="2"/>
        <v>96.41728134878818</v>
      </c>
    </row>
    <row r="20" spans="4:11" x14ac:dyDescent="0.25">
      <c r="D20" t="s">
        <v>4</v>
      </c>
      <c r="E20">
        <v>0.14499999999999999</v>
      </c>
      <c r="F20">
        <f t="shared" si="0"/>
        <v>1.0558482613277131</v>
      </c>
      <c r="G20" s="1">
        <f t="shared" si="1"/>
        <v>0.96417281348788175</v>
      </c>
      <c r="H20" s="3">
        <f t="shared" si="2"/>
        <v>96.41728134878818</v>
      </c>
    </row>
    <row r="21" spans="4:11" x14ac:dyDescent="0.25">
      <c r="D21" t="s">
        <v>5</v>
      </c>
      <c r="E21">
        <v>0.23499999999999999</v>
      </c>
      <c r="F21">
        <f t="shared" si="0"/>
        <v>2.0042149631190727</v>
      </c>
      <c r="G21" s="1">
        <f>F21-$G$14</f>
        <v>1.9125395152792413</v>
      </c>
      <c r="H21" s="3">
        <f>(G21/$D$7)*100</f>
        <v>95.626975763962065</v>
      </c>
      <c r="I21" s="2">
        <f>AVERAGE(H21:H25)</f>
        <v>97.102212855637518</v>
      </c>
      <c r="J21">
        <f>_xlfn.STDEV.S(G21:G25)</f>
        <v>6.2518006213661964E-2</v>
      </c>
      <c r="K21">
        <f>_xlfn.STDEV.S(G21:G25)/AVERAGE(G21:G25)*100</f>
        <v>3.219185452890136</v>
      </c>
    </row>
    <row r="22" spans="4:11" x14ac:dyDescent="0.25">
      <c r="D22" t="s">
        <v>5</v>
      </c>
      <c r="E22">
        <v>0.23100000000000001</v>
      </c>
      <c r="F22">
        <f t="shared" si="0"/>
        <v>1.9620653319283456</v>
      </c>
      <c r="G22" s="1">
        <f>F22-$G$14</f>
        <v>1.8703898840885143</v>
      </c>
      <c r="H22" s="3">
        <f t="shared" ref="H22:H24" si="3">(G22/$D$7)*100</f>
        <v>93.519494204425712</v>
      </c>
    </row>
    <row r="23" spans="4:11" x14ac:dyDescent="0.25">
      <c r="D23" t="s">
        <v>5</v>
      </c>
      <c r="E23">
        <v>0.23899999999999999</v>
      </c>
      <c r="F23">
        <f t="shared" si="0"/>
        <v>2.0463645943097997</v>
      </c>
      <c r="G23" s="1">
        <f t="shared" si="1"/>
        <v>1.9546891464699683</v>
      </c>
      <c r="H23" s="3">
        <f t="shared" si="3"/>
        <v>97.734457323498418</v>
      </c>
    </row>
    <row r="24" spans="4:11" x14ac:dyDescent="0.25">
      <c r="D24" t="s">
        <v>5</v>
      </c>
      <c r="E24">
        <v>0.23699999999999999</v>
      </c>
      <c r="F24">
        <f t="shared" si="0"/>
        <v>2.0252897787144359</v>
      </c>
      <c r="G24" s="1">
        <f t="shared" si="1"/>
        <v>1.9336143308746045</v>
      </c>
      <c r="H24" s="3">
        <f t="shared" si="3"/>
        <v>96.680716543730227</v>
      </c>
    </row>
    <row r="25" spans="4:11" x14ac:dyDescent="0.25">
      <c r="D25" t="s">
        <v>5</v>
      </c>
      <c r="E25">
        <v>0.247</v>
      </c>
      <c r="F25">
        <f t="shared" si="0"/>
        <v>2.1306638566912537</v>
      </c>
      <c r="G25" s="1">
        <f t="shared" si="1"/>
        <v>2.0389884088514223</v>
      </c>
      <c r="H25" s="3">
        <f>(G25/$D$7)*100</f>
        <v>101.94942044257111</v>
      </c>
    </row>
    <row r="26" spans="4:11" x14ac:dyDescent="0.25">
      <c r="D26" t="s">
        <v>6</v>
      </c>
      <c r="E26">
        <v>0.32700000000000001</v>
      </c>
      <c r="F26">
        <f t="shared" si="0"/>
        <v>2.9736564805057957</v>
      </c>
      <c r="G26" s="1">
        <f t="shared" si="1"/>
        <v>2.8819810326659643</v>
      </c>
      <c r="H26" s="3">
        <f>(G26/$D$8)*100</f>
        <v>96.066034422198811</v>
      </c>
      <c r="I26" s="2">
        <f>AVERAGE(H26:H30)</f>
        <v>96.979276431331215</v>
      </c>
      <c r="J26">
        <f>_xlfn.STDEV.S(G26:G30)</f>
        <v>2.5377438522217733E-2</v>
      </c>
      <c r="K26">
        <f>_xlfn.STDEV.S(G26:G30)/AVERAGE(G26:G30)*100</f>
        <v>0.87226327988354313</v>
      </c>
    </row>
    <row r="27" spans="4:11" x14ac:dyDescent="0.25">
      <c r="D27" t="s">
        <v>6</v>
      </c>
      <c r="E27">
        <v>0.33100000000000002</v>
      </c>
      <c r="F27">
        <f t="shared" si="0"/>
        <v>3.0158061116965227</v>
      </c>
      <c r="G27" s="1">
        <f t="shared" si="1"/>
        <v>2.9241306638566913</v>
      </c>
      <c r="H27" s="3">
        <f t="shared" ref="H27:H29" si="4">(G27/$D$8)*100</f>
        <v>97.47102212855637</v>
      </c>
    </row>
    <row r="28" spans="4:11" x14ac:dyDescent="0.25">
      <c r="D28" t="s">
        <v>6</v>
      </c>
      <c r="E28">
        <v>0.32700000000000001</v>
      </c>
      <c r="F28">
        <f t="shared" si="0"/>
        <v>2.9736564805057957</v>
      </c>
      <c r="G28" s="1">
        <f t="shared" si="1"/>
        <v>2.8819810326659643</v>
      </c>
      <c r="H28" s="3">
        <f t="shared" si="4"/>
        <v>96.066034422198811</v>
      </c>
    </row>
    <row r="29" spans="4:11" x14ac:dyDescent="0.25">
      <c r="D29" t="s">
        <v>6</v>
      </c>
      <c r="E29">
        <v>0.33100000000000002</v>
      </c>
      <c r="F29">
        <f t="shared" si="0"/>
        <v>3.0158061116965227</v>
      </c>
      <c r="G29" s="1">
        <f t="shared" si="1"/>
        <v>2.9241306638566913</v>
      </c>
      <c r="H29" s="3">
        <f t="shared" si="4"/>
        <v>97.47102212855637</v>
      </c>
    </row>
    <row r="30" spans="4:11" x14ac:dyDescent="0.25">
      <c r="D30" t="s">
        <v>6</v>
      </c>
      <c r="E30">
        <v>0.33200000000000002</v>
      </c>
      <c r="F30">
        <f t="shared" si="0"/>
        <v>3.0263435194942048</v>
      </c>
      <c r="G30" s="1">
        <f>F30-$G$14</f>
        <v>2.9346680716543734</v>
      </c>
      <c r="H30" s="3">
        <f>(G30/$D$8)*100</f>
        <v>97.822269055145782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68C4-3BD1-4B73-9074-3C845F2ACAD0}">
  <dimension ref="A1:L31"/>
  <sheetViews>
    <sheetView tabSelected="1" workbookViewId="0">
      <selection activeCell="G14" sqref="G14"/>
    </sheetView>
  </sheetViews>
  <sheetFormatPr defaultRowHeight="15" x14ac:dyDescent="0.25"/>
  <cols>
    <col min="4" max="4" width="12.140625" customWidth="1"/>
    <col min="5" max="6" width="12.28515625" customWidth="1"/>
    <col min="7" max="7" width="15.85546875" customWidth="1"/>
    <col min="9" max="9" width="16.7109375" customWidth="1"/>
  </cols>
  <sheetData>
    <row r="1" spans="1:12" x14ac:dyDescent="0.25">
      <c r="A1" t="s">
        <v>14</v>
      </c>
    </row>
    <row r="2" spans="1:12" x14ac:dyDescent="0.25">
      <c r="E2" t="s">
        <v>0</v>
      </c>
    </row>
    <row r="3" spans="1:12" x14ac:dyDescent="0.25">
      <c r="D3" t="s">
        <v>15</v>
      </c>
      <c r="E3" t="s">
        <v>1</v>
      </c>
    </row>
    <row r="4" spans="1:12" x14ac:dyDescent="0.25">
      <c r="D4">
        <v>0</v>
      </c>
      <c r="E4">
        <v>0.11360000000000001</v>
      </c>
      <c r="F4">
        <v>0</v>
      </c>
    </row>
    <row r="5" spans="1:12" x14ac:dyDescent="0.25">
      <c r="D5">
        <v>20</v>
      </c>
      <c r="E5">
        <v>0.38600000000000001</v>
      </c>
      <c r="F5">
        <f>E5-$E$4</f>
        <v>0.27239999999999998</v>
      </c>
    </row>
    <row r="6" spans="1:12" x14ac:dyDescent="0.25">
      <c r="D6">
        <v>40</v>
      </c>
      <c r="E6">
        <v>0.66090000000000004</v>
      </c>
      <c r="F6">
        <f>E6-$E$4</f>
        <v>0.54730000000000001</v>
      </c>
    </row>
    <row r="7" spans="1:12" x14ac:dyDescent="0.25">
      <c r="D7">
        <v>60</v>
      </c>
      <c r="E7">
        <v>0.96179999999999999</v>
      </c>
      <c r="F7">
        <f>E7-$E$4</f>
        <v>0.84819999999999995</v>
      </c>
    </row>
    <row r="8" spans="1:12" x14ac:dyDescent="0.25">
      <c r="D8">
        <v>80</v>
      </c>
      <c r="E8">
        <v>1.2184999999999999</v>
      </c>
      <c r="F8">
        <f>E8-$E$4</f>
        <v>1.1049</v>
      </c>
    </row>
    <row r="9" spans="1:12" x14ac:dyDescent="0.25">
      <c r="D9">
        <v>100</v>
      </c>
      <c r="E9">
        <v>1.5164</v>
      </c>
      <c r="F9">
        <f>E9-$E$4</f>
        <v>1.4028</v>
      </c>
    </row>
    <row r="12" spans="1:12" x14ac:dyDescent="0.25">
      <c r="E12" t="s">
        <v>3</v>
      </c>
      <c r="F12" t="s">
        <v>19</v>
      </c>
      <c r="G12" t="s">
        <v>10</v>
      </c>
      <c r="H12" t="s">
        <v>11</v>
      </c>
      <c r="I12" t="s">
        <v>12</v>
      </c>
      <c r="J12" t="s">
        <v>13</v>
      </c>
      <c r="K12" t="s">
        <v>9</v>
      </c>
      <c r="L12" t="s">
        <v>8</v>
      </c>
    </row>
    <row r="13" spans="1:12" x14ac:dyDescent="0.25">
      <c r="E13" t="s">
        <v>7</v>
      </c>
    </row>
    <row r="14" spans="1:12" x14ac:dyDescent="0.25">
      <c r="E14" t="s">
        <v>7</v>
      </c>
      <c r="F14">
        <v>0.12</v>
      </c>
      <c r="G14" s="1">
        <f>(F14-0.1086)/0.014</f>
        <v>0.81428571428571384</v>
      </c>
      <c r="H14" s="1">
        <f>AVERAGE(G13:G15)</f>
        <v>0.78571428571428537</v>
      </c>
    </row>
    <row r="15" spans="1:12" x14ac:dyDescent="0.25">
      <c r="E15" t="s">
        <v>7</v>
      </c>
      <c r="F15">
        <v>0.1192</v>
      </c>
      <c r="G15" s="1">
        <f>(F15-0.1086)/0.014</f>
        <v>0.75714285714285701</v>
      </c>
      <c r="H15" s="1"/>
    </row>
    <row r="16" spans="1:12" x14ac:dyDescent="0.25">
      <c r="G16" s="1"/>
      <c r="H16" s="1"/>
      <c r="I16" s="3"/>
    </row>
    <row r="17" spans="5:12" x14ac:dyDescent="0.25">
      <c r="E17" t="s">
        <v>16</v>
      </c>
      <c r="F17">
        <v>0.39100000000000001</v>
      </c>
      <c r="G17" s="1">
        <f t="shared" ref="G17:G31" si="0">(F17-0.1086)/0.014</f>
        <v>20.171428571428571</v>
      </c>
      <c r="H17" s="1">
        <f t="shared" ref="H17:H28" si="1">G17-$H$14</f>
        <v>19.385714285714286</v>
      </c>
      <c r="I17" s="3">
        <f t="shared" ref="I17:I21" si="2">(H17/$D$5)*100</f>
        <v>96.928571428571431</v>
      </c>
      <c r="J17" s="2">
        <f>AVERAGE(I17:I21)</f>
        <v>96.357142857142861</v>
      </c>
      <c r="K17">
        <f>_xlfn.STDEV.S(H17:H21)</f>
        <v>0.30970690555255448</v>
      </c>
      <c r="L17">
        <f>_xlfn.STDEV.S(H17:H21)/AVERAGE(H17:H21)*100</f>
        <v>1.6070780866329732</v>
      </c>
    </row>
    <row r="18" spans="5:12" x14ac:dyDescent="0.25">
      <c r="E18" t="s">
        <v>16</v>
      </c>
      <c r="F18">
        <v>0.38900000000000001</v>
      </c>
      <c r="G18" s="1">
        <f t="shared" si="0"/>
        <v>20.028571428571428</v>
      </c>
      <c r="H18" s="1">
        <f t="shared" si="1"/>
        <v>19.242857142857144</v>
      </c>
      <c r="I18" s="3">
        <f t="shared" si="2"/>
        <v>96.214285714285722</v>
      </c>
    </row>
    <row r="19" spans="5:12" x14ac:dyDescent="0.25">
      <c r="E19" t="s">
        <v>16</v>
      </c>
      <c r="F19">
        <v>0.38300000000000001</v>
      </c>
      <c r="G19" s="1">
        <f t="shared" si="0"/>
        <v>19.599999999999998</v>
      </c>
      <c r="H19" s="1">
        <f t="shared" si="1"/>
        <v>18.814285714285713</v>
      </c>
      <c r="I19" s="3">
        <f t="shared" si="2"/>
        <v>94.071428571428555</v>
      </c>
    </row>
    <row r="20" spans="5:12" x14ac:dyDescent="0.25">
      <c r="E20" t="s">
        <v>16</v>
      </c>
      <c r="F20">
        <v>0.39500000000000002</v>
      </c>
      <c r="G20" s="1">
        <f t="shared" si="0"/>
        <v>20.457142857142856</v>
      </c>
      <c r="H20" s="1">
        <f t="shared" si="1"/>
        <v>19.671428571428571</v>
      </c>
      <c r="I20" s="3">
        <f t="shared" si="2"/>
        <v>98.357142857142861</v>
      </c>
    </row>
    <row r="21" spans="5:12" x14ac:dyDescent="0.25">
      <c r="E21" t="s">
        <v>16</v>
      </c>
      <c r="F21">
        <v>0.38900000000000001</v>
      </c>
      <c r="G21" s="1">
        <f t="shared" si="0"/>
        <v>20.028571428571428</v>
      </c>
      <c r="H21" s="1">
        <f>G21-$H$14</f>
        <v>19.242857142857144</v>
      </c>
      <c r="I21" s="3">
        <f t="shared" si="2"/>
        <v>96.214285714285722</v>
      </c>
    </row>
    <row r="22" spans="5:12" x14ac:dyDescent="0.25">
      <c r="E22" t="s">
        <v>17</v>
      </c>
      <c r="F22">
        <v>0.66700000000000004</v>
      </c>
      <c r="G22" s="1">
        <f t="shared" si="0"/>
        <v>39.885714285714286</v>
      </c>
      <c r="H22" s="1">
        <f t="shared" si="1"/>
        <v>39.1</v>
      </c>
      <c r="I22" s="3">
        <f t="shared" ref="I22:I26" si="3">(H22/$D$6)*100</f>
        <v>97.75</v>
      </c>
      <c r="J22" s="2">
        <f>AVERAGE(I22:I26)</f>
        <v>98.142857142857139</v>
      </c>
      <c r="K22">
        <f>_xlfn.STDEV.S(H22:H26)</f>
        <v>0.49073040106621518</v>
      </c>
      <c r="L22">
        <f>_xlfn.STDEV.S(H22:H26)/AVERAGE(H22:H26)*100</f>
        <v>1.2500410507509121</v>
      </c>
    </row>
    <row r="23" spans="5:12" x14ac:dyDescent="0.25">
      <c r="E23" t="s">
        <v>17</v>
      </c>
      <c r="F23">
        <v>0.66900000000000004</v>
      </c>
      <c r="G23" s="1">
        <f t="shared" si="0"/>
        <v>40.028571428571425</v>
      </c>
      <c r="H23" s="1">
        <f t="shared" si="1"/>
        <v>39.24285714285714</v>
      </c>
      <c r="I23" s="3">
        <f t="shared" si="3"/>
        <v>98.107142857142847</v>
      </c>
    </row>
    <row r="24" spans="5:12" x14ac:dyDescent="0.25">
      <c r="E24" t="s">
        <v>17</v>
      </c>
      <c r="F24">
        <v>0.67599999999999993</v>
      </c>
      <c r="G24" s="1">
        <f>(F24-0.1086)/0.014</f>
        <v>40.528571428571418</v>
      </c>
      <c r="H24" s="1">
        <f>G24-$H$14</f>
        <v>39.742857142857133</v>
      </c>
      <c r="I24" s="3">
        <f t="shared" si="3"/>
        <v>99.357142857142833</v>
      </c>
    </row>
    <row r="25" spans="5:12" x14ac:dyDescent="0.25">
      <c r="E25" t="s">
        <v>17</v>
      </c>
      <c r="F25">
        <v>0.67500000000000004</v>
      </c>
      <c r="G25" s="1">
        <f t="shared" si="0"/>
        <v>40.457142857142856</v>
      </c>
      <c r="H25" s="1">
        <f t="shared" si="1"/>
        <v>39.671428571428571</v>
      </c>
      <c r="I25" s="3">
        <f t="shared" si="3"/>
        <v>99.178571428571431</v>
      </c>
    </row>
    <row r="26" spans="5:12" x14ac:dyDescent="0.25">
      <c r="E26" t="s">
        <v>17</v>
      </c>
      <c r="F26">
        <v>0.65900000000000003</v>
      </c>
      <c r="G26" s="1">
        <f t="shared" si="0"/>
        <v>39.314285714285717</v>
      </c>
      <c r="H26" s="1">
        <f t="shared" si="1"/>
        <v>38.528571428571432</v>
      </c>
      <c r="I26" s="3">
        <f t="shared" si="3"/>
        <v>96.321428571428584</v>
      </c>
    </row>
    <row r="27" spans="5:12" x14ac:dyDescent="0.25">
      <c r="E27" t="s">
        <v>18</v>
      </c>
      <c r="F27">
        <v>0.93199999999999994</v>
      </c>
      <c r="G27" s="1">
        <f t="shared" si="0"/>
        <v>58.81428571428571</v>
      </c>
      <c r="H27" s="1">
        <f t="shared" si="1"/>
        <v>58.028571428571425</v>
      </c>
      <c r="I27" s="3">
        <f>(H27/$D$7)*100</f>
        <v>96.714285714285708</v>
      </c>
      <c r="J27" s="2">
        <f>AVERAGE(I27:I31)</f>
        <v>99.261904761904759</v>
      </c>
      <c r="K27">
        <f>_xlfn.STDEV.S(H27:H31)</f>
        <v>1.0565635478343196</v>
      </c>
      <c r="L27">
        <f>_xlfn.STDEV.S(H27:H31)/AVERAGE(H27:H31)*100</f>
        <v>1.7740333017126977</v>
      </c>
    </row>
    <row r="28" spans="5:12" x14ac:dyDescent="0.25">
      <c r="E28" t="s">
        <v>18</v>
      </c>
      <c r="F28">
        <v>0.96100000000000008</v>
      </c>
      <c r="G28" s="1">
        <f t="shared" si="0"/>
        <v>60.885714285714286</v>
      </c>
      <c r="H28" s="1">
        <f t="shared" si="1"/>
        <v>60.1</v>
      </c>
      <c r="I28" s="3">
        <f t="shared" ref="I28:I31" si="4">(H28/$D$7)*100</f>
        <v>100.16666666666667</v>
      </c>
    </row>
    <row r="29" spans="5:12" x14ac:dyDescent="0.25">
      <c r="E29" t="s">
        <v>18</v>
      </c>
      <c r="F29">
        <v>0.95</v>
      </c>
      <c r="G29" s="1">
        <f t="shared" si="0"/>
        <v>60.099999999999994</v>
      </c>
      <c r="H29" s="1">
        <f>G29-$H$14</f>
        <v>59.31428571428571</v>
      </c>
      <c r="I29" s="3">
        <f t="shared" si="4"/>
        <v>98.857142857142861</v>
      </c>
    </row>
    <row r="30" spans="5:12" x14ac:dyDescent="0.25">
      <c r="E30" t="s">
        <v>18</v>
      </c>
      <c r="F30">
        <v>0.97199999999999998</v>
      </c>
      <c r="G30" s="1">
        <f t="shared" si="0"/>
        <v>61.671428571428564</v>
      </c>
      <c r="H30" s="1">
        <f>G30-$H$14</f>
        <v>60.885714285714279</v>
      </c>
      <c r="I30" s="3">
        <f t="shared" si="4"/>
        <v>101.47619047619048</v>
      </c>
    </row>
    <row r="31" spans="5:12" x14ac:dyDescent="0.25">
      <c r="E31" t="s">
        <v>18</v>
      </c>
      <c r="F31">
        <v>0.95199999999999996</v>
      </c>
      <c r="G31" s="1">
        <f t="shared" si="0"/>
        <v>60.242857142857133</v>
      </c>
      <c r="H31" s="1">
        <f>G31-$H$14</f>
        <v>59.457142857142848</v>
      </c>
      <c r="I31" s="3">
        <f t="shared" si="4"/>
        <v>99.095238095238074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Blue colorimetric method</vt:lpstr>
      <vt:lpstr>Yellow p-NP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Castillo, Benjamin Alejandro</dc:creator>
  <cp:lastModifiedBy>Castillo, Benjamin Alejandro</cp:lastModifiedBy>
  <dcterms:created xsi:type="dcterms:W3CDTF">2015-06-05T18:17:20Z</dcterms:created>
  <dcterms:modified xsi:type="dcterms:W3CDTF">2025-11-16T19:52:24Z</dcterms:modified>
</cp:coreProperties>
</file>